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omodanEA\Desktop\Проектная практика\ProjectPractice\"/>
    </mc:Choice>
  </mc:AlternateContent>
  <xr:revisionPtr revIDLastSave="0" documentId="13_ncr:1_{BCADAED9-811E-4BC1-B7A2-C9149ABC7F07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СборНагрузок" sheetId="1" r:id="rId1"/>
    <sheet name="РасчетБалок" sheetId="3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t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ma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3" l="1"/>
  <c r="L13" i="3"/>
  <c r="L12" i="3"/>
  <c r="N19" i="3" s="1"/>
  <c r="L10" i="3"/>
  <c r="L9" i="3"/>
  <c r="L8" i="3"/>
  <c r="L18" i="3" s="1"/>
  <c r="G10" i="3"/>
  <c r="G18" i="3" s="1"/>
  <c r="G9" i="3"/>
  <c r="B9" i="3"/>
  <c r="B19" i="3" s="1"/>
  <c r="B8" i="3"/>
  <c r="I15" i="3"/>
  <c r="B11" i="3"/>
  <c r="B18" i="3" s="1"/>
  <c r="G13" i="3"/>
  <c r="G12" i="3"/>
  <c r="G8" i="3"/>
  <c r="E13" i="1"/>
  <c r="E14" i="1" s="1"/>
  <c r="G14" i="1"/>
  <c r="G13" i="1"/>
  <c r="G12" i="1"/>
  <c r="E12" i="1"/>
  <c r="A18" i="3"/>
  <c r="D13" i="3"/>
  <c r="G10" i="1"/>
  <c r="G11" i="1"/>
  <c r="E11" i="1"/>
  <c r="E10" i="1"/>
  <c r="C7" i="1"/>
  <c r="G2" i="1"/>
  <c r="E3" i="1"/>
  <c r="G3" i="1"/>
  <c r="E4" i="1"/>
  <c r="G4" i="1"/>
  <c r="H4" i="1"/>
  <c r="D2" i="1" s="1"/>
  <c r="C2" i="1" s="1"/>
  <c r="E5" i="1"/>
  <c r="G5" i="1" s="1"/>
  <c r="E6" i="1"/>
  <c r="G6" i="1" s="1"/>
  <c r="G7" i="1"/>
  <c r="G9" i="1"/>
  <c r="B7" i="3" a="1"/>
  <c r="L11" i="3" a="1"/>
  <c r="G11" i="3" a="1"/>
  <c r="B7" i="3" l="1"/>
  <c r="B14" i="3" s="1"/>
  <c r="L11" i="3"/>
  <c r="L19" i="3"/>
  <c r="N20" i="3" s="1"/>
  <c r="L20" i="3"/>
  <c r="B16" i="3"/>
  <c r="B17" i="3" s="1"/>
  <c r="I19" i="3"/>
  <c r="D17" i="3"/>
  <c r="G11" i="3"/>
  <c r="B13" i="3"/>
  <c r="D14" i="3" s="1"/>
  <c r="D7" i="1"/>
  <c r="H2" i="1"/>
  <c r="H5" i="1" s="1"/>
  <c r="L15" i="3" a="1"/>
  <c r="L16" i="3" a="1"/>
  <c r="G15" i="3" a="1"/>
  <c r="G16" i="3" a="1"/>
  <c r="L16" i="3" l="1"/>
  <c r="L15" i="3"/>
  <c r="N16" i="3" s="1"/>
  <c r="D19" i="3"/>
  <c r="G16" i="3"/>
  <c r="G19" i="3"/>
  <c r="I20" i="3" s="1"/>
  <c r="G20" i="3"/>
  <c r="G15" i="3"/>
  <c r="I1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<sst xmlns="http://schemas.openxmlformats.org/spreadsheetml/2006/main" count="152" uniqueCount="73">
  <si>
    <t>№ п/п</t>
  </si>
  <si>
    <t>Наименование</t>
  </si>
  <si>
    <t>γf</t>
  </si>
  <si>
    <t>Qp</t>
  </si>
  <si>
    <t>ρ</t>
  </si>
  <si>
    <t>Снег</t>
  </si>
  <si>
    <t>ПВХ мембрана</t>
  </si>
  <si>
    <t>Утеплитель
Базальтовая вата</t>
  </si>
  <si>
    <t>Керамзито-бетон</t>
  </si>
  <si>
    <t>Профнастил</t>
  </si>
  <si>
    <t>№ ГОСТ</t>
  </si>
  <si>
    <t>24045-2016</t>
  </si>
  <si>
    <t>18124-2012</t>
  </si>
  <si>
    <t>Хризотилцем. лист</t>
  </si>
  <si>
    <t>h</t>
  </si>
  <si>
    <t>мм</t>
  </si>
  <si>
    <t>Единицы измерения</t>
  </si>
  <si>
    <t xml:space="preserve">Qн, </t>
  </si>
  <si>
    <r>
      <t>кг/м</t>
    </r>
    <r>
      <rPr>
        <vertAlign val="superscript"/>
        <sz val="11"/>
        <color theme="1"/>
        <rFont val="Inter"/>
        <charset val="204"/>
      </rPr>
      <t>2</t>
    </r>
  </si>
  <si>
    <r>
      <t>кг/м</t>
    </r>
    <r>
      <rPr>
        <vertAlign val="superscript"/>
        <sz val="11"/>
        <color theme="1"/>
        <rFont val="Inter"/>
        <charset val="204"/>
      </rPr>
      <t>3</t>
    </r>
  </si>
  <si>
    <t>плотность</t>
  </si>
  <si>
    <t>толщина</t>
  </si>
  <si>
    <t>нагрузка</t>
  </si>
  <si>
    <t>коэф</t>
  </si>
  <si>
    <t>СП 20.13330.2016</t>
  </si>
  <si>
    <t>f</t>
  </si>
  <si>
    <t>q</t>
  </si>
  <si>
    <t>l</t>
  </si>
  <si>
    <t>E</t>
  </si>
  <si>
    <t>Сечение</t>
  </si>
  <si>
    <t>Wx</t>
  </si>
  <si>
    <t>Mx</t>
  </si>
  <si>
    <t>σ</t>
  </si>
  <si>
    <r>
      <t>кг/см</t>
    </r>
    <r>
      <rPr>
        <vertAlign val="superscript"/>
        <sz val="11"/>
        <color theme="1"/>
        <rFont val="Inter"/>
        <charset val="204"/>
      </rPr>
      <t>2</t>
    </r>
  </si>
  <si>
    <t>кг*см</t>
  </si>
  <si>
    <r>
      <t>см</t>
    </r>
    <r>
      <rPr>
        <vertAlign val="superscript"/>
        <sz val="11"/>
        <color theme="1"/>
        <rFont val="Inter"/>
        <charset val="204"/>
      </rPr>
      <t>3</t>
    </r>
  </si>
  <si>
    <t>cм</t>
  </si>
  <si>
    <t>Дано</t>
  </si>
  <si>
    <t>см</t>
  </si>
  <si>
    <r>
      <t>см</t>
    </r>
    <r>
      <rPr>
        <vertAlign val="superscript"/>
        <sz val="11"/>
        <color theme="1"/>
        <rFont val="Inter"/>
        <charset val="204"/>
      </rPr>
      <t>4</t>
    </r>
  </si>
  <si>
    <t>кг/см</t>
  </si>
  <si>
    <t>Норма</t>
  </si>
  <si>
    <r>
      <rPr>
        <sz val="11"/>
        <color theme="1"/>
        <rFont val="Times New Roman"/>
        <family val="1"/>
        <charset val="204"/>
      </rP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</si>
  <si>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t>Ry</t>
  </si>
  <si>
    <t>Расчёт Wx</t>
  </si>
  <si>
    <r>
      <t>W</t>
    </r>
    <r>
      <rPr>
        <vertAlign val="subscript"/>
        <sz val="11"/>
        <color theme="1"/>
        <rFont val="Times New Roman"/>
        <family val="1"/>
        <charset val="204"/>
      </rPr>
      <t>тр</t>
    </r>
  </si>
  <si>
    <r>
      <t>cм</t>
    </r>
    <r>
      <rPr>
        <vertAlign val="superscript"/>
        <sz val="11"/>
        <color theme="1"/>
        <rFont val="Inter"/>
        <charset val="204"/>
      </rPr>
      <t>3</t>
    </r>
  </si>
  <si>
    <t>-</t>
  </si>
  <si>
    <t>Второстепенные балки</t>
  </si>
  <si>
    <t>Ix</t>
  </si>
  <si>
    <r>
      <t>I</t>
    </r>
    <r>
      <rPr>
        <vertAlign val="subscript"/>
        <sz val="11"/>
        <color theme="1"/>
        <rFont val="Times New Roman"/>
        <family val="1"/>
        <charset val="204"/>
      </rPr>
      <t>тр</t>
    </r>
  </si>
  <si>
    <t>Расчёт Ix</t>
  </si>
  <si>
    <r>
      <t>b</t>
    </r>
    <r>
      <rPr>
        <i/>
        <vertAlign val="subscript"/>
        <sz val="11"/>
        <color theme="1"/>
        <rFont val="Times New Roman"/>
        <family val="1"/>
        <charset val="204"/>
      </rPr>
      <t>гр</t>
    </r>
  </si>
  <si>
    <t>кг</t>
  </si>
  <si>
    <t>Второстеп балки</t>
  </si>
  <si>
    <t>a</t>
  </si>
  <si>
    <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</si>
  <si>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20Б0</t>
    </r>
  </si>
  <si>
    <t>m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</si>
  <si>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25Б1</t>
    </r>
  </si>
  <si>
    <t>qн</t>
  </si>
  <si>
    <t>qр</t>
  </si>
  <si>
    <t>Pр</t>
  </si>
  <si>
    <t>Pн</t>
  </si>
  <si>
    <t>Основные балки (край)</t>
  </si>
  <si>
    <t>b</t>
  </si>
  <si>
    <t>Основные балки (средн)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</si>
  <si>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25Б3</t>
    </r>
  </si>
  <si>
    <t>№</t>
  </si>
  <si>
    <r>
      <t>I</t>
    </r>
    <r>
      <rPr>
        <i/>
        <vertAlign val="subscript"/>
        <sz val="11"/>
        <color theme="1"/>
        <rFont val="Times New Roman"/>
        <family val="1"/>
        <charset val="204"/>
      </rPr>
      <t>тр</t>
    </r>
  </si>
  <si>
    <r>
      <t>W</t>
    </r>
    <r>
      <rPr>
        <i/>
        <vertAlign val="subscript"/>
        <sz val="11"/>
        <color theme="1"/>
        <rFont val="Times New Roman"/>
        <family val="1"/>
        <charset val="204"/>
      </rPr>
      <t>тр</t>
    </r>
  </si>
  <si>
    <t>12Б1</t>
  </si>
  <si>
    <t>35Б2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</si>
</sst>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Inter"/>
      <charset val="204"/>
    </font>
    <font>
      <vertAlign val="superscript"/>
      <sz val="11"/>
      <color theme="1"/>
      <name val="Inter"/>
      <charset val="204"/>
    </font>
    <font>
      <sz val="8"/>
      <color theme="1"/>
      <name val="Inter"/>
      <charset val="204"/>
    </font>
    <font>
      <b/>
      <sz val="11"/>
      <color theme="1"/>
      <name val="Inter"/>
      <charset val="204"/>
    </font>
    <font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vertAlign val="subscript"/>
      <sz val="11"/>
      <color theme="1"/>
      <name val="Times New Roman"/>
      <family val="1"/>
      <charset val="204"/>
    </font>
    <font>
      <i/>
      <vertAlign val="subscript"/>
      <sz val="11"/>
      <color theme="1"/>
      <name val="Times New Roman"/>
      <family val="1"/>
      <charset val="204"/>
    </font>
    <font>
      <sz val="11"/>
      <color theme="1"/>
      <name val="JetBrains Mono"/>
      <family val="3"/>
    </font>
    <font>
      <sz val="11"/>
      <color theme="1"/>
      <name val="Inter"/>
      <family val="3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2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2" fontId="1" fillId="0" borderId="7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/>
    <xf numFmtId="0" fontId="1" fillId="2" borderId="11" xfId="0" applyFont="1" applyFill="1" applyBorder="1"/>
    <xf numFmtId="0" fontId="3" fillId="0" borderId="11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/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1" fillId="3" borderId="18" xfId="0" applyNumberFormat="1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0" borderId="16" xfId="0" applyFont="1" applyBorder="1"/>
    <xf numFmtId="0" fontId="4" fillId="0" borderId="16" xfId="0" applyFont="1" applyBorder="1" applyAlignment="1">
      <alignment horizontal="center" vertical="center"/>
    </xf>
    <xf numFmtId="0" fontId="1" fillId="0" borderId="0" xfId="0" applyFont="1" applyFill="1" applyBorder="1"/>
    <xf numFmtId="0" fontId="6" fillId="0" borderId="0" xfId="0" applyFont="1" applyAlignment="1">
      <alignment horizontal="center"/>
    </xf>
    <xf numFmtId="0" fontId="1" fillId="4" borderId="18" xfId="0" applyFont="1" applyFill="1" applyBorder="1"/>
    <xf numFmtId="0" fontId="1" fillId="4" borderId="18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" fillId="5" borderId="22" xfId="0" applyFont="1" applyFill="1" applyBorder="1" applyAlignment="1">
      <alignment horizontal="left"/>
    </xf>
    <xf numFmtId="0" fontId="1" fillId="5" borderId="23" xfId="0" applyFont="1" applyFill="1" applyBorder="1"/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/>
    <xf numFmtId="0" fontId="6" fillId="0" borderId="16" xfId="0" applyFont="1" applyBorder="1" applyAlignment="1">
      <alignment horizontal="left" vertical="center"/>
    </xf>
    <xf numFmtId="0" fontId="4" fillId="0" borderId="0" xfId="0" applyFont="1" applyFill="1" applyBorder="1" applyAlignment="1"/>
    <xf numFmtId="0" fontId="4" fillId="0" borderId="17" xfId="0" applyFont="1" applyFill="1" applyBorder="1" applyAlignment="1"/>
    <xf numFmtId="0" fontId="1" fillId="0" borderId="18" xfId="0" applyFont="1" applyFill="1" applyBorder="1" applyAlignment="1"/>
    <xf numFmtId="0" fontId="1" fillId="4" borderId="15" xfId="0" applyFont="1" applyFill="1" applyBorder="1" applyAlignment="1"/>
    <xf numFmtId="0" fontId="1" fillId="4" borderId="18" xfId="0" applyFont="1" applyFill="1" applyBorder="1" applyAlignment="1"/>
    <xf numFmtId="0" fontId="1" fillId="4" borderId="16" xfId="0" applyFont="1" applyFill="1" applyBorder="1" applyAlignment="1"/>
    <xf numFmtId="0" fontId="1" fillId="4" borderId="16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5" xfId="0" applyFont="1" applyBorder="1" applyAlignment="1">
      <alignment horizontal="right" vertical="center"/>
    </xf>
    <xf numFmtId="0" fontId="1" fillId="0" borderId="9" xfId="0" applyFont="1" applyFill="1" applyBorder="1" applyAlignment="1"/>
    <xf numFmtId="2" fontId="1" fillId="6" borderId="15" xfId="0" applyNumberFormat="1" applyFont="1" applyFill="1" applyBorder="1" applyAlignment="1">
      <alignment horizontal="right" vertical="center"/>
    </xf>
    <xf numFmtId="2" fontId="1" fillId="6" borderId="18" xfId="0" applyNumberFormat="1" applyFont="1" applyFill="1" applyBorder="1" applyAlignment="1">
      <alignment horizontal="right" vertical="center"/>
    </xf>
    <xf numFmtId="2" fontId="1" fillId="6" borderId="16" xfId="0" applyNumberFormat="1" applyFont="1" applyFill="1" applyBorder="1" applyAlignment="1">
      <alignment horizontal="right" vertical="center"/>
    </xf>
    <xf numFmtId="2" fontId="1" fillId="6" borderId="15" xfId="0" applyNumberFormat="1" applyFont="1" applyFill="1" applyBorder="1"/>
    <xf numFmtId="2" fontId="1" fillId="6" borderId="18" xfId="0" applyNumberFormat="1" applyFont="1" applyFill="1" applyBorder="1"/>
    <xf numFmtId="2" fontId="1" fillId="6" borderId="16" xfId="0" applyNumberFormat="1" applyFont="1" applyFill="1" applyBorder="1"/>
    <xf numFmtId="2" fontId="1" fillId="0" borderId="18" xfId="0" applyNumberFormat="1" applyFont="1" applyBorder="1" applyAlignment="1">
      <alignment horizontal="right" vertical="center"/>
    </xf>
    <xf numFmtId="2" fontId="1" fillId="0" borderId="0" xfId="0" applyNumberFormat="1" applyFont="1" applyBorder="1" applyAlignment="1">
      <alignment horizontal="right" vertical="center"/>
    </xf>
    <xf numFmtId="2" fontId="4" fillId="0" borderId="11" xfId="0" applyNumberFormat="1" applyFont="1" applyFill="1" applyBorder="1" applyAlignment="1">
      <alignment horizontal="right"/>
    </xf>
    <xf numFmtId="2" fontId="4" fillId="0" borderId="11" xfId="0" applyNumberFormat="1" applyFont="1" applyFill="1" applyBorder="1" applyAlignment="1">
      <alignment horizontal="right" vertical="center"/>
    </xf>
    <xf numFmtId="2" fontId="1" fillId="0" borderId="16" xfId="0" applyNumberFormat="1" applyFont="1" applyBorder="1" applyAlignment="1">
      <alignment horizontal="right" vertical="center"/>
    </xf>
    <xf numFmtId="2" fontId="1" fillId="0" borderId="18" xfId="0" applyNumberFormat="1" applyFont="1" applyFill="1" applyBorder="1" applyAlignment="1"/>
    <xf numFmtId="2" fontId="1" fillId="0" borderId="16" xfId="0" applyNumberFormat="1" applyFont="1" applyFill="1" applyBorder="1" applyAlignment="1"/>
    <xf numFmtId="2" fontId="1" fillId="0" borderId="15" xfId="0" applyNumberFormat="1" applyFont="1" applyFill="1" applyBorder="1" applyAlignment="1"/>
    <xf numFmtId="2" fontId="1" fillId="0" borderId="18" xfId="0" applyNumberFormat="1" applyFont="1" applyFill="1" applyBorder="1" applyAlignment="1">
      <alignment horizontal="right"/>
    </xf>
    <xf numFmtId="2" fontId="4" fillId="0" borderId="16" xfId="0" applyNumberFormat="1" applyFont="1" applyFill="1" applyBorder="1" applyAlignment="1"/>
    <xf numFmtId="2" fontId="1" fillId="0" borderId="0" xfId="0" applyNumberFormat="1" applyFont="1" applyFill="1" applyBorder="1" applyAlignment="1"/>
    <xf numFmtId="2" fontId="4" fillId="0" borderId="0" xfId="0" applyNumberFormat="1" applyFont="1" applyFill="1" applyBorder="1" applyAlignment="1"/>
    <xf numFmtId="2" fontId="1" fillId="6" borderId="0" xfId="0" applyNumberFormat="1" applyFont="1" applyFill="1"/>
    <xf numFmtId="0" fontId="1" fillId="0" borderId="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4" borderId="0" xfId="0" applyFont="1" applyFill="1" applyBorder="1" applyAlignment="1"/>
    <xf numFmtId="0" fontId="1" fillId="4" borderId="0" xfId="0" applyFont="1" applyFill="1" applyBorder="1"/>
    <xf numFmtId="164" fontId="1" fillId="4" borderId="0" xfId="0" applyNumberFormat="1" applyFont="1" applyFill="1" applyBorder="1"/>
    <xf numFmtId="0" fontId="4" fillId="4" borderId="25" xfId="0" applyFont="1" applyFill="1" applyBorder="1" applyAlignment="1"/>
    <xf numFmtId="0" fontId="4" fillId="4" borderId="27" xfId="0" applyFont="1" applyFill="1" applyBorder="1" applyAlignment="1"/>
    <xf numFmtId="0" fontId="1" fillId="4" borderId="27" xfId="0" applyFont="1" applyFill="1" applyBorder="1"/>
    <xf numFmtId="0" fontId="1" fillId="4" borderId="26" xfId="0" applyFont="1" applyFill="1" applyBorder="1"/>
    <xf numFmtId="0" fontId="6" fillId="4" borderId="8" xfId="0" applyFont="1" applyFill="1" applyBorder="1" applyAlignment="1">
      <alignment horizontal="center" vertical="center"/>
    </xf>
    <xf numFmtId="0" fontId="1" fillId="4" borderId="9" xfId="0" applyFont="1" applyFill="1" applyBorder="1"/>
    <xf numFmtId="0" fontId="1" fillId="4" borderId="8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4" borderId="12" xfId="0" applyFont="1" applyFill="1" applyBorder="1"/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1" xfId="0" applyFont="1" applyBorder="1" applyAlignment="1">
      <alignment horizontal="center"/>
    </xf>
  </cellXfs>
  <cellStyles count="1">
    <cellStyle name="Обычный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32902</xdr:colOff>
      <xdr:row>21</xdr:row>
      <xdr:rowOff>91794</xdr:rowOff>
    </xdr:from>
    <xdr:to>
      <xdr:col>13</xdr:col>
      <xdr:colOff>1020419</xdr:colOff>
      <xdr:row>26</xdr:row>
      <xdr:rowOff>95505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D3BE010-EC5C-460E-8BDA-088ED3765CE3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8259" y="4305985"/>
          <a:ext cx="5678786" cy="8756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5CFB6-B0BD-4446-9F44-E628F3BF8E11}" name="Таблица1" displayName="Таблица1" ref="A1:H7" totalsRowShown="0" headerRowDxfId="10" dataDxfId="9" tableBorderDxfId="8">
  <tableColumns count="8">
    <tableColumn id="1" xr3:uid="{8183B60A-E10C-4A2E-92F1-AF84282C6280}" name="№ п/п" dataDxfId="7"/>
    <tableColumn id="2" xr3:uid="{A9B5C510-C500-4B6B-A610-EE651E35788C}" name="Наименование" dataDxfId="6"/>
    <tableColumn id="3" xr3:uid="{BD971CA7-2305-4C0C-839D-A359F4BD63F7}" name="ρ" dataDxfId="5"/>
    <tableColumn id="4" xr3:uid="{41A4268E-525C-47E5-A064-5232788AFB22}" name="h" dataDxfId="4"/>
    <tableColumn id="5" xr3:uid="{1A43476B-C444-4C63-905B-9532CA4DE150}" name="Qн, " dataDxfId="3">
      <calculatedColumnFormula>C2*D2/1000</calculatedColumnFormula>
    </tableColumn>
    <tableColumn id="6" xr3:uid="{101A6059-660B-45D5-909E-4820653C046A}" name="γf" dataDxfId="2"/>
    <tableColumn id="7" xr3:uid="{AF3EEBC6-68E0-4413-8258-2E8F49BDB9F4}" name="Qp" dataDxfId="1">
      <calculatedColumnFormula>E2*F2</calculatedColumnFormula>
    </tableColumn>
    <tableColumn id="8" xr3:uid="{F0C0D757-D5DD-47AF-812E-47A755CB3B6D}" name="№ ГОСТ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14"/>
  <sheetViews>
    <sheetView zoomScale="175" zoomScaleNormal="175" workbookViewId="0">
      <selection activeCell="E12" sqref="E12"/>
    </sheetView>
  </sheetViews>
  <sheetFormatPr defaultColWidth="8.88671875" defaultRowHeight="13.8" x14ac:dyDescent="0.25"/>
  <cols>
    <col min="1" max="1" width="7.5546875" style="21" bestFit="1" customWidth="1"/>
    <col min="2" max="2" width="22" style="21" bestFit="1" customWidth="1"/>
    <col min="3" max="3" width="9.5546875" style="21" bestFit="1" customWidth="1"/>
    <col min="4" max="4" width="8" style="21" bestFit="1" customWidth="1"/>
    <col min="5" max="5" width="8.44140625" style="21" bestFit="1" customWidth="1"/>
    <col min="6" max="6" width="6.33203125" style="21" bestFit="1" customWidth="1"/>
    <col min="7" max="7" width="9" style="21" bestFit="1" customWidth="1"/>
    <col min="8" max="8" width="20.44140625" style="21" bestFit="1" customWidth="1"/>
    <col min="9" max="16384" width="8.88671875" style="21"/>
  </cols>
  <sheetData>
    <row r="1" spans="1:8" ht="14.4" thickBot="1" x14ac:dyDescent="0.3">
      <c r="A1" s="22" t="s">
        <v>0</v>
      </c>
      <c r="B1" s="22" t="s">
        <v>1</v>
      </c>
      <c r="C1" s="22" t="s">
        <v>4</v>
      </c>
      <c r="D1" s="22" t="s">
        <v>14</v>
      </c>
      <c r="E1" s="22" t="s">
        <v>17</v>
      </c>
      <c r="F1" s="22" t="s">
        <v>2</v>
      </c>
      <c r="G1" s="22" t="s">
        <v>3</v>
      </c>
      <c r="H1" s="22" t="s">
        <v>10</v>
      </c>
    </row>
    <row r="2" spans="1:8" x14ac:dyDescent="0.25">
      <c r="A2" s="19">
        <v>1</v>
      </c>
      <c r="B2" s="10" t="s">
        <v>5</v>
      </c>
      <c r="C2" s="11" t="str">
        <f>Таблица1[[#This Row],[h]]</f>
        <v>-</v>
      </c>
      <c r="D2" s="11" t="str">
        <f>H4</f>
        <v>-</v>
      </c>
      <c r="E2" s="11">
        <v>150</v>
      </c>
      <c r="F2" s="11">
        <v>1.4</v>
      </c>
      <c r="G2" s="11">
        <f>E2*F2</f>
        <v>210</v>
      </c>
      <c r="H2" s="20" t="str">
        <f>H4</f>
        <v>-</v>
      </c>
    </row>
    <row r="3" spans="1:8" x14ac:dyDescent="0.25">
      <c r="A3" s="1">
        <v>2</v>
      </c>
      <c r="B3" s="2" t="s">
        <v>6</v>
      </c>
      <c r="C3" s="3">
        <v>1300</v>
      </c>
      <c r="D3" s="3">
        <v>1.5</v>
      </c>
      <c r="E3" s="3">
        <f t="shared" ref="E3:E6" si="0">C3*D3/1000</f>
        <v>1.95</v>
      </c>
      <c r="F3" s="3">
        <v>1.1000000000000001</v>
      </c>
      <c r="G3" s="3">
        <f t="shared" ref="G3:G7" si="1">E3*F3</f>
        <v>2.145</v>
      </c>
      <c r="H3" s="4" t="s">
        <v>24</v>
      </c>
    </row>
    <row r="4" spans="1:8" ht="27.6" x14ac:dyDescent="0.25">
      <c r="A4" s="1">
        <v>3</v>
      </c>
      <c r="B4" s="5" t="s">
        <v>7</v>
      </c>
      <c r="C4" s="3">
        <v>100</v>
      </c>
      <c r="D4" s="3">
        <v>150</v>
      </c>
      <c r="E4" s="3">
        <f t="shared" si="0"/>
        <v>15</v>
      </c>
      <c r="F4" s="3">
        <v>1.2</v>
      </c>
      <c r="G4" s="3">
        <f t="shared" si="1"/>
        <v>18</v>
      </c>
      <c r="H4" s="4" t="str">
        <f>"-"</f>
        <v>-</v>
      </c>
    </row>
    <row r="5" spans="1:8" x14ac:dyDescent="0.25">
      <c r="A5" s="1">
        <v>4</v>
      </c>
      <c r="B5" s="2" t="s">
        <v>8</v>
      </c>
      <c r="C5" s="3">
        <v>800</v>
      </c>
      <c r="D5" s="3">
        <v>90</v>
      </c>
      <c r="E5" s="3">
        <f t="shared" si="0"/>
        <v>72</v>
      </c>
      <c r="F5" s="3">
        <v>1.2</v>
      </c>
      <c r="G5" s="3">
        <f t="shared" si="1"/>
        <v>86.399999999999991</v>
      </c>
      <c r="H5" s="4" t="str">
        <f>H2</f>
        <v>-</v>
      </c>
    </row>
    <row r="6" spans="1:8" x14ac:dyDescent="0.25">
      <c r="A6" s="1">
        <v>5</v>
      </c>
      <c r="B6" s="2" t="s">
        <v>13</v>
      </c>
      <c r="C6" s="3">
        <v>1800</v>
      </c>
      <c r="D6" s="3">
        <v>10</v>
      </c>
      <c r="E6" s="3">
        <f t="shared" si="0"/>
        <v>18</v>
      </c>
      <c r="F6" s="3">
        <v>1.2</v>
      </c>
      <c r="G6" s="3">
        <f t="shared" si="1"/>
        <v>21.599999999999998</v>
      </c>
      <c r="H6" s="4" t="s">
        <v>12</v>
      </c>
    </row>
    <row r="7" spans="1:8" x14ac:dyDescent="0.25">
      <c r="A7" s="6">
        <v>6</v>
      </c>
      <c r="B7" s="7" t="s">
        <v>9</v>
      </c>
      <c r="C7" s="8" t="str">
        <f>C2</f>
        <v>-</v>
      </c>
      <c r="D7" s="8" t="str">
        <f>D2</f>
        <v>-</v>
      </c>
      <c r="E7" s="8">
        <v>14</v>
      </c>
      <c r="F7" s="8">
        <v>1.05</v>
      </c>
      <c r="G7" s="8">
        <f t="shared" si="1"/>
        <v>14.700000000000001</v>
      </c>
      <c r="H7" s="9" t="s">
        <v>11</v>
      </c>
    </row>
    <row r="8" spans="1:8" ht="16.2" x14ac:dyDescent="0.25">
      <c r="A8" s="91" t="s">
        <v>16</v>
      </c>
      <c r="B8" s="92"/>
      <c r="C8" s="22" t="s">
        <v>19</v>
      </c>
      <c r="D8" s="22" t="s">
        <v>15</v>
      </c>
      <c r="E8" s="22" t="s">
        <v>18</v>
      </c>
      <c r="F8" s="12" t="s">
        <v>23</v>
      </c>
      <c r="G8" s="22" t="s">
        <v>18</v>
      </c>
      <c r="H8" s="13"/>
    </row>
    <row r="9" spans="1:8" ht="14.4" thickBot="1" x14ac:dyDescent="0.3">
      <c r="A9" s="14"/>
      <c r="B9" s="15"/>
      <c r="C9" s="16" t="s">
        <v>20</v>
      </c>
      <c r="D9" s="16" t="s">
        <v>21</v>
      </c>
      <c r="E9" s="16" t="s">
        <v>22</v>
      </c>
      <c r="F9" s="17"/>
      <c r="G9" s="16" t="str">
        <f>E9</f>
        <v>нагрузка</v>
      </c>
      <c r="H9" s="18"/>
    </row>
    <row r="10" spans="1:8" ht="16.2" x14ac:dyDescent="0.35">
      <c r="D10" s="34" t="s">
        <v>52</v>
      </c>
      <c r="E10" s="24">
        <f>SUM(Таблица1[Qн, ])</f>
        <v>270.95</v>
      </c>
      <c r="F10" s="23"/>
      <c r="G10" s="24">
        <f>SUM(Таблица1[Qp])</f>
        <v>352.84500000000003</v>
      </c>
      <c r="H10" s="25"/>
    </row>
    <row r="11" spans="1:8" ht="14.4" thickBot="1" x14ac:dyDescent="0.3">
      <c r="C11" s="34" t="s">
        <v>26</v>
      </c>
      <c r="D11" s="23">
        <v>2</v>
      </c>
      <c r="E11" s="23">
        <f>D11*E10</f>
        <v>541.9</v>
      </c>
      <c r="F11" s="23"/>
      <c r="G11" s="23">
        <f>D11*G10</f>
        <v>705.69</v>
      </c>
    </row>
    <row r="12" spans="1:8" ht="14.4" thickBot="1" x14ac:dyDescent="0.3">
      <c r="A12" s="49">
        <v>7</v>
      </c>
      <c r="B12" s="50" t="s">
        <v>54</v>
      </c>
      <c r="C12" s="50"/>
      <c r="D12" s="51"/>
      <c r="E12" s="51">
        <f>18.2*6</f>
        <v>109.19999999999999</v>
      </c>
      <c r="F12" s="51">
        <v>1.05</v>
      </c>
      <c r="G12" s="51">
        <f>E12*F12</f>
        <v>114.66</v>
      </c>
      <c r="H12" s="52"/>
    </row>
    <row r="13" spans="1:8" x14ac:dyDescent="0.25">
      <c r="D13" s="23">
        <v>2</v>
      </c>
      <c r="E13" s="25">
        <f>E10+E12</f>
        <v>380.15</v>
      </c>
      <c r="G13" s="25">
        <f>G12+G10</f>
        <v>467.505</v>
      </c>
    </row>
    <row r="14" spans="1:8" x14ac:dyDescent="0.25">
      <c r="C14" s="34"/>
      <c r="E14" s="21">
        <f>E13*D13</f>
        <v>760.3</v>
      </c>
      <c r="G14" s="21">
        <f>G13*D13</f>
        <v>935.01</v>
      </c>
    </row>
  </sheetData>
  <mergeCells count="1">
    <mergeCell ref="A8:B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8718-6AD5-4BAC-8B1F-72CAB04E655F}">
  <sheetPr codeName="Лист2"/>
  <dimension ref="A1:N27"/>
  <sheetViews>
    <sheetView tabSelected="1" zoomScale="115" zoomScaleNormal="115" workbookViewId="0">
      <selection activeCell="B26" sqref="B26"/>
    </sheetView>
  </sheetViews>
  <sheetFormatPr defaultColWidth="8.88671875" defaultRowHeight="13.8" x14ac:dyDescent="0.25"/>
  <cols>
    <col min="1" max="1" width="6.33203125" style="21" bestFit="1" customWidth="1"/>
    <col min="2" max="2" width="12.88671875" style="21" bestFit="1" customWidth="1"/>
    <col min="3" max="3" width="8.88671875" style="21"/>
    <col min="4" max="4" width="12" style="21" bestFit="1" customWidth="1"/>
    <col min="5" max="5" width="3.33203125" style="21" customWidth="1"/>
    <col min="6" max="6" width="4.5546875" style="21" bestFit="1" customWidth="1"/>
    <col min="7" max="7" width="12.88671875" style="21" bestFit="1" customWidth="1"/>
    <col min="8" max="8" width="7.21875" style="21" bestFit="1" customWidth="1"/>
    <col min="9" max="9" width="15.77734375" style="21" bestFit="1" customWidth="1"/>
    <col min="10" max="10" width="3.33203125" style="21" customWidth="1"/>
    <col min="11" max="11" width="4.5546875" style="21" bestFit="1" customWidth="1"/>
    <col min="12" max="12" width="12.88671875" style="21" bestFit="1" customWidth="1"/>
    <col min="13" max="13" width="7.21875" style="21" bestFit="1" customWidth="1"/>
    <col min="14" max="14" width="15.77734375" style="21" bestFit="1" customWidth="1"/>
    <col min="15" max="16384" width="8.88671875" style="21"/>
  </cols>
  <sheetData>
    <row r="1" spans="1:14" ht="14.4" thickBot="1" x14ac:dyDescent="0.3">
      <c r="A1" s="99" t="s">
        <v>48</v>
      </c>
      <c r="B1" s="100"/>
      <c r="C1" s="100"/>
      <c r="D1" s="101"/>
      <c r="F1" s="93" t="s">
        <v>64</v>
      </c>
      <c r="G1" s="94"/>
      <c r="H1" s="94"/>
      <c r="I1" s="95"/>
      <c r="K1" s="93" t="s">
        <v>66</v>
      </c>
      <c r="L1" s="94"/>
      <c r="M1" s="94"/>
      <c r="N1" s="95"/>
    </row>
    <row r="2" spans="1:14" ht="14.4" thickBot="1" x14ac:dyDescent="0.3">
      <c r="A2" s="102" t="s">
        <v>37</v>
      </c>
      <c r="B2" s="102"/>
      <c r="C2" s="102"/>
      <c r="D2" s="32" t="s">
        <v>29</v>
      </c>
      <c r="F2" s="93" t="s">
        <v>37</v>
      </c>
      <c r="G2" s="94"/>
      <c r="H2" s="95"/>
      <c r="I2" s="55" t="s">
        <v>29</v>
      </c>
      <c r="K2" s="93" t="s">
        <v>37</v>
      </c>
      <c r="L2" s="94"/>
      <c r="M2" s="95"/>
      <c r="N2" s="55" t="s">
        <v>29</v>
      </c>
    </row>
    <row r="3" spans="1:14" ht="16.8" thickBot="1" x14ac:dyDescent="0.3">
      <c r="A3" s="65" t="s">
        <v>27</v>
      </c>
      <c r="B3" s="70">
        <v>600</v>
      </c>
      <c r="C3" s="68" t="s">
        <v>38</v>
      </c>
      <c r="D3" s="62" t="s">
        <v>57</v>
      </c>
      <c r="F3" s="65" t="s">
        <v>49</v>
      </c>
      <c r="G3" s="75">
        <v>3537.11</v>
      </c>
      <c r="H3" s="68" t="s">
        <v>39</v>
      </c>
      <c r="I3" s="62" t="s">
        <v>59</v>
      </c>
      <c r="J3" s="33"/>
      <c r="K3" s="39" t="s">
        <v>49</v>
      </c>
      <c r="L3" s="90">
        <v>5238.16</v>
      </c>
      <c r="M3" s="42" t="s">
        <v>39</v>
      </c>
      <c r="N3" s="62" t="s">
        <v>67</v>
      </c>
    </row>
    <row r="4" spans="1:14" ht="16.2" x14ac:dyDescent="0.25">
      <c r="A4" s="63" t="s">
        <v>49</v>
      </c>
      <c r="B4" s="72">
        <v>1581.56</v>
      </c>
      <c r="C4" s="64" t="s">
        <v>39</v>
      </c>
      <c r="D4" s="35"/>
      <c r="F4" s="63" t="s">
        <v>30</v>
      </c>
      <c r="G4" s="76">
        <v>285.3</v>
      </c>
      <c r="H4" s="64" t="s">
        <v>35</v>
      </c>
      <c r="I4" s="58"/>
      <c r="J4" s="33"/>
      <c r="K4" s="41" t="s">
        <v>30</v>
      </c>
      <c r="L4" s="90">
        <v>410.8</v>
      </c>
      <c r="M4" s="44" t="s">
        <v>35</v>
      </c>
      <c r="N4" s="58"/>
    </row>
    <row r="5" spans="1:14" ht="16.8" thickBot="1" x14ac:dyDescent="0.3">
      <c r="A5" s="63" t="s">
        <v>30</v>
      </c>
      <c r="B5" s="73">
        <v>159.80000000000001</v>
      </c>
      <c r="C5" s="64" t="s">
        <v>35</v>
      </c>
      <c r="D5" s="36"/>
      <c r="F5" s="63" t="s">
        <v>58</v>
      </c>
      <c r="G5" s="77">
        <v>25.7</v>
      </c>
      <c r="H5" s="64" t="s">
        <v>40</v>
      </c>
      <c r="I5" s="58"/>
      <c r="J5" s="33"/>
      <c r="K5" s="63" t="s">
        <v>58</v>
      </c>
      <c r="L5" s="77">
        <v>37.4</v>
      </c>
      <c r="M5" s="64" t="s">
        <v>40</v>
      </c>
      <c r="N5" s="58"/>
    </row>
    <row r="6" spans="1:14" ht="14.4" thickBot="1" x14ac:dyDescent="0.3">
      <c r="A6" s="63" t="s">
        <v>58</v>
      </c>
      <c r="B6" s="74">
        <v>18.2</v>
      </c>
      <c r="C6" s="64" t="s">
        <v>40</v>
      </c>
      <c r="D6" s="38"/>
      <c r="F6" s="63" t="s">
        <v>27</v>
      </c>
      <c r="G6" s="56">
        <v>600</v>
      </c>
      <c r="H6" s="64" t="s">
        <v>38</v>
      </c>
      <c r="I6" s="58"/>
      <c r="J6" s="33"/>
      <c r="K6" s="63" t="s">
        <v>27</v>
      </c>
      <c r="L6" s="56">
        <v>600</v>
      </c>
      <c r="M6" s="64" t="s">
        <v>38</v>
      </c>
      <c r="N6" s="58"/>
    </row>
    <row r="7" spans="1:14" ht="16.2" x14ac:dyDescent="0.25">
      <c r="A7" s="63" t="s">
        <v>28</v>
      </c>
      <c r="B7" s="78" cm="1">
        <f t="array" ref="B7">E()</f>
        <v>2038735.9836901119</v>
      </c>
      <c r="C7" s="64" t="s">
        <v>33</v>
      </c>
      <c r="D7" s="38"/>
      <c r="F7" s="63" t="s">
        <v>65</v>
      </c>
      <c r="G7" s="56">
        <v>300</v>
      </c>
      <c r="H7" s="64" t="s">
        <v>36</v>
      </c>
      <c r="I7" s="58"/>
      <c r="J7" s="33"/>
      <c r="K7" s="63" t="s">
        <v>65</v>
      </c>
      <c r="L7" s="56">
        <v>600</v>
      </c>
      <c r="M7" s="64" t="s">
        <v>36</v>
      </c>
      <c r="N7" s="58"/>
    </row>
    <row r="8" spans="1:14" x14ac:dyDescent="0.25">
      <c r="A8" s="63" t="s">
        <v>60</v>
      </c>
      <c r="B8" s="78">
        <f>(СборНагрузок!E11+B6)/100</f>
        <v>5.601</v>
      </c>
      <c r="C8" s="64" t="s">
        <v>40</v>
      </c>
      <c r="D8" s="36"/>
      <c r="F8" s="63" t="s">
        <v>55</v>
      </c>
      <c r="G8" s="56">
        <f>G6/3</f>
        <v>200</v>
      </c>
      <c r="H8" s="64" t="s">
        <v>38</v>
      </c>
      <c r="I8" s="58"/>
      <c r="J8" s="33"/>
      <c r="K8" s="63" t="s">
        <v>55</v>
      </c>
      <c r="L8" s="56">
        <f>L6/3</f>
        <v>200</v>
      </c>
      <c r="M8" s="64" t="s">
        <v>38</v>
      </c>
      <c r="N8" s="58"/>
    </row>
    <row r="9" spans="1:14" x14ac:dyDescent="0.25">
      <c r="A9" s="63" t="s">
        <v>61</v>
      </c>
      <c r="B9" s="78">
        <f>(СборНагрузок!G11+B6*1.05)/100</f>
        <v>7.2480000000000011</v>
      </c>
      <c r="C9" s="64" t="s">
        <v>40</v>
      </c>
      <c r="D9" s="36"/>
      <c r="F9" s="63" t="s">
        <v>63</v>
      </c>
      <c r="G9" s="83">
        <f>$B$8*G7</f>
        <v>1680.3</v>
      </c>
      <c r="H9" s="71" t="s">
        <v>53</v>
      </c>
      <c r="I9" s="58"/>
      <c r="J9" s="33"/>
      <c r="K9" s="63" t="s">
        <v>63</v>
      </c>
      <c r="L9" s="83">
        <f>$B$8*L7</f>
        <v>3360.6</v>
      </c>
      <c r="M9" s="71" t="s">
        <v>53</v>
      </c>
      <c r="N9" s="58"/>
    </row>
    <row r="10" spans="1:14" ht="16.2" x14ac:dyDescent="0.25">
      <c r="A10" s="66" t="s">
        <v>42</v>
      </c>
      <c r="B10" s="78">
        <v>0.9</v>
      </c>
      <c r="C10" s="64" t="s">
        <v>47</v>
      </c>
      <c r="D10" s="36"/>
      <c r="F10" s="63" t="s">
        <v>62</v>
      </c>
      <c r="G10" s="83">
        <f>$B$9*G7</f>
        <v>2174.4000000000005</v>
      </c>
      <c r="H10" s="71" t="s">
        <v>53</v>
      </c>
      <c r="I10" s="58"/>
      <c r="J10" s="33"/>
      <c r="K10" s="63" t="s">
        <v>62</v>
      </c>
      <c r="L10" s="83">
        <f>$B$9*L7</f>
        <v>4348.8000000000011</v>
      </c>
      <c r="M10" s="71" t="s">
        <v>53</v>
      </c>
      <c r="N10" s="58"/>
    </row>
    <row r="11" spans="1:14" ht="16.8" thickBot="1" x14ac:dyDescent="0.3">
      <c r="A11" s="67" t="s">
        <v>43</v>
      </c>
      <c r="B11" s="82">
        <f>240*100/9.81</f>
        <v>2446.4831804281343</v>
      </c>
      <c r="C11" s="69" t="s">
        <v>33</v>
      </c>
      <c r="D11" s="37"/>
      <c r="F11" s="63" t="s">
        <v>28</v>
      </c>
      <c r="G11" s="83" cm="1">
        <f t="array" ref="G11">E()</f>
        <v>2038735.9836901119</v>
      </c>
      <c r="H11" s="64" t="s">
        <v>33</v>
      </c>
      <c r="I11" s="58"/>
      <c r="J11" s="33"/>
      <c r="K11" s="63" t="s">
        <v>28</v>
      </c>
      <c r="L11" s="83" cm="1">
        <f t="array" ref="L11">E()</f>
        <v>2038735.9836901119</v>
      </c>
      <c r="M11" s="64" t="s">
        <v>33</v>
      </c>
      <c r="N11" s="58"/>
    </row>
    <row r="12" spans="1:14" ht="16.8" thickBot="1" x14ac:dyDescent="0.3">
      <c r="A12" s="96" t="s">
        <v>51</v>
      </c>
      <c r="B12" s="97"/>
      <c r="C12" s="98"/>
      <c r="D12" s="26" t="s">
        <v>41</v>
      </c>
      <c r="F12" s="66" t="s">
        <v>56</v>
      </c>
      <c r="G12" s="83">
        <f>0.9</f>
        <v>0.9</v>
      </c>
      <c r="H12" s="71" t="s">
        <v>47</v>
      </c>
      <c r="I12" s="58"/>
      <c r="J12" s="33"/>
      <c r="K12" s="66" t="s">
        <v>56</v>
      </c>
      <c r="L12" s="83">
        <f>0.9</f>
        <v>0.9</v>
      </c>
      <c r="M12" s="71" t="s">
        <v>47</v>
      </c>
      <c r="N12" s="58"/>
    </row>
    <row r="13" spans="1:14" ht="16.8" thickBot="1" x14ac:dyDescent="0.3">
      <c r="A13" s="45" t="s">
        <v>25</v>
      </c>
      <c r="B13" s="79">
        <f>(5/384)*(B8*B3^4)/(B7*B4)</f>
        <v>2.9313163703874658</v>
      </c>
      <c r="C13" s="42" t="s">
        <v>36</v>
      </c>
      <c r="D13" s="29">
        <f>B3/200</f>
        <v>3</v>
      </c>
      <c r="F13" s="67" t="s">
        <v>43</v>
      </c>
      <c r="G13" s="84">
        <f>240*100/9.81</f>
        <v>2446.4831804281343</v>
      </c>
      <c r="H13" s="69" t="s">
        <v>33</v>
      </c>
      <c r="I13" s="59"/>
      <c r="J13" s="33"/>
      <c r="K13" s="67" t="s">
        <v>43</v>
      </c>
      <c r="L13" s="84">
        <f>240*100/9.81</f>
        <v>2446.4831804281343</v>
      </c>
      <c r="M13" s="69" t="s">
        <v>33</v>
      </c>
      <c r="N13" s="59"/>
    </row>
    <row r="14" spans="1:14" ht="16.8" thickBot="1" x14ac:dyDescent="0.3">
      <c r="A14" s="46" t="s">
        <v>50</v>
      </c>
      <c r="B14" s="81">
        <f>(5*25/48)*B8*(B3^3)/B7</f>
        <v>1545.3509062500002</v>
      </c>
      <c r="C14" s="43" t="s">
        <v>39</v>
      </c>
      <c r="D14" s="28" t="str">
        <f>IF(B13&lt;=D13, "ОК", "ОШБК")</f>
        <v>ОК</v>
      </c>
      <c r="F14" s="96" t="s">
        <v>51</v>
      </c>
      <c r="G14" s="97"/>
      <c r="H14" s="98"/>
      <c r="I14" s="26" t="s">
        <v>41</v>
      </c>
      <c r="J14" s="33"/>
      <c r="K14" s="96" t="s">
        <v>51</v>
      </c>
      <c r="L14" s="97"/>
      <c r="M14" s="98"/>
      <c r="N14" s="26" t="s">
        <v>41</v>
      </c>
    </row>
    <row r="15" spans="1:14" ht="14.4" thickBot="1" x14ac:dyDescent="0.3">
      <c r="A15" s="96" t="s">
        <v>44</v>
      </c>
      <c r="B15" s="97"/>
      <c r="C15" s="98"/>
      <c r="D15" s="26" t="s">
        <v>41</v>
      </c>
      <c r="F15" s="39" t="s">
        <v>25</v>
      </c>
      <c r="G15" s="88" cm="1">
        <f t="array" ref="G15">fmax(G9,G8,G11,G3,G6)</f>
        <v>1.7864211602127162</v>
      </c>
      <c r="H15" s="42" t="s">
        <v>36</v>
      </c>
      <c r="I15" s="29">
        <f>G6/200</f>
        <v>3</v>
      </c>
      <c r="J15" s="33"/>
      <c r="K15" s="39" t="s">
        <v>25</v>
      </c>
      <c r="L15" s="88" cm="1">
        <f t="array" ref="L15">fmax(L9,L8,L11,L3,L6)</f>
        <v>2.4125907379690581</v>
      </c>
      <c r="M15" s="42" t="s">
        <v>36</v>
      </c>
      <c r="N15" s="29">
        <f>L6/200</f>
        <v>3</v>
      </c>
    </row>
    <row r="16" spans="1:14" ht="16.8" thickBot="1" x14ac:dyDescent="0.3">
      <c r="A16" s="45" t="s">
        <v>31</v>
      </c>
      <c r="B16" s="79">
        <f>B9*B3^2/8</f>
        <v>326160.00000000006</v>
      </c>
      <c r="C16" s="42" t="s">
        <v>34</v>
      </c>
      <c r="D16" s="27"/>
      <c r="F16" s="53" t="s">
        <v>50</v>
      </c>
      <c r="G16" s="89" cm="1">
        <f t="array" ref="G16">Itr(G9,G8,G11,I15,G6)</f>
        <v>2106.25605</v>
      </c>
      <c r="H16" s="43" t="s">
        <v>39</v>
      </c>
      <c r="I16" s="60" t="str">
        <f>IF(G15&lt;=I15, "ОК", "ОШБК")</f>
        <v>ОК</v>
      </c>
      <c r="J16" s="33"/>
      <c r="K16" s="53" t="s">
        <v>50</v>
      </c>
      <c r="L16" s="89" cm="1">
        <f t="array" ref="L16">Itr(L9,L8,L11,N15,L6)</f>
        <v>4212.5120999999999</v>
      </c>
      <c r="M16" s="43" t="s">
        <v>39</v>
      </c>
      <c r="N16" s="60" t="str">
        <f>IF(L15&lt;=N15, "ОК", "ОШБК")</f>
        <v>ОК</v>
      </c>
    </row>
    <row r="17" spans="1:14" ht="16.8" thickBot="1" x14ac:dyDescent="0.3">
      <c r="A17" s="47" t="s">
        <v>32</v>
      </c>
      <c r="B17" s="79">
        <f>B16/B5</f>
        <v>2041.0513141426786</v>
      </c>
      <c r="C17" s="44" t="s">
        <v>33</v>
      </c>
      <c r="D17" s="30">
        <f>B11*B10</f>
        <v>2201.8348623853208</v>
      </c>
      <c r="F17" s="96" t="s">
        <v>44</v>
      </c>
      <c r="G17" s="97"/>
      <c r="H17" s="98"/>
      <c r="I17" s="26" t="s">
        <v>41</v>
      </c>
      <c r="J17" s="33"/>
      <c r="K17" s="96" t="s">
        <v>44</v>
      </c>
      <c r="L17" s="97"/>
      <c r="M17" s="98"/>
      <c r="N17" s="26" t="s">
        <v>41</v>
      </c>
    </row>
    <row r="18" spans="1:14" ht="16.2" x14ac:dyDescent="0.25">
      <c r="A18" s="48" t="str">
        <f>A11&amp;"*"&amp;A10</f>
        <v>Ry*γс</v>
      </c>
      <c r="B18" s="79">
        <f>B10*B11</f>
        <v>2201.8348623853208</v>
      </c>
      <c r="C18" s="44" t="s">
        <v>33</v>
      </c>
      <c r="D18" s="36"/>
      <c r="F18" s="39" t="s">
        <v>31</v>
      </c>
      <c r="G18" s="85">
        <f>G10*G8</f>
        <v>434880.00000000012</v>
      </c>
      <c r="H18" s="42" t="s">
        <v>34</v>
      </c>
      <c r="I18" s="57"/>
      <c r="J18" s="33"/>
      <c r="K18" s="39" t="s">
        <v>31</v>
      </c>
      <c r="L18" s="85">
        <f>L10*L8</f>
        <v>869760.00000000023</v>
      </c>
      <c r="M18" s="42" t="s">
        <v>34</v>
      </c>
      <c r="N18" s="57"/>
    </row>
    <row r="19" spans="1:14" ht="16.8" thickBot="1" x14ac:dyDescent="0.3">
      <c r="A19" s="46" t="s">
        <v>45</v>
      </c>
      <c r="B19" s="80">
        <f>B9*B3^2/(8*B18)</f>
        <v>148.13100000000006</v>
      </c>
      <c r="C19" s="31" t="s">
        <v>46</v>
      </c>
      <c r="D19" s="60" t="str">
        <f>IF(B17&lt;D17, "ОК", "ОШБК")</f>
        <v>ОК</v>
      </c>
      <c r="F19" s="40" t="s">
        <v>32</v>
      </c>
      <c r="G19" s="86">
        <f>G18/G4</f>
        <v>1524.2902208201897</v>
      </c>
      <c r="H19" s="44" t="s">
        <v>33</v>
      </c>
      <c r="I19" s="61">
        <f>G12*G13</f>
        <v>2201.8348623853208</v>
      </c>
      <c r="J19" s="33"/>
      <c r="K19" s="40" t="s">
        <v>32</v>
      </c>
      <c r="L19" s="86">
        <f>L18/L4</f>
        <v>2117.2346640701076</v>
      </c>
      <c r="M19" s="44" t="s">
        <v>33</v>
      </c>
      <c r="N19" s="61">
        <f>L12*L13</f>
        <v>2201.8348623853208</v>
      </c>
    </row>
    <row r="20" spans="1:14" ht="16.8" thickBot="1" x14ac:dyDescent="0.3">
      <c r="F20" s="53" t="s">
        <v>45</v>
      </c>
      <c r="G20" s="87">
        <f>G18/(G13*G12)</f>
        <v>197.5080000000001</v>
      </c>
      <c r="H20" s="31" t="s">
        <v>46</v>
      </c>
      <c r="I20" s="60" t="str">
        <f>IF(G19&lt;I19, "ОК", "ОШБК")</f>
        <v>ОК</v>
      </c>
      <c r="J20" s="33"/>
      <c r="K20" s="53" t="s">
        <v>45</v>
      </c>
      <c r="L20" s="87">
        <f>L18/(L13*L12)</f>
        <v>395.01600000000019</v>
      </c>
      <c r="M20" s="31" t="s">
        <v>46</v>
      </c>
      <c r="N20" s="60" t="str">
        <f>IF(L19&lt;N19, "ОК", "ОШБК")</f>
        <v>ОК</v>
      </c>
    </row>
    <row r="21" spans="1:14" ht="16.8" thickBot="1" x14ac:dyDescent="0.3">
      <c r="A21" s="116" t="s">
        <v>27</v>
      </c>
      <c r="B21" s="45" t="s">
        <v>69</v>
      </c>
      <c r="C21" s="45" t="s">
        <v>70</v>
      </c>
      <c r="D21" s="117" t="s">
        <v>68</v>
      </c>
      <c r="F21" s="54"/>
      <c r="G21" s="54"/>
      <c r="H21" s="54"/>
      <c r="I21" s="54"/>
      <c r="J21" s="33"/>
      <c r="K21" s="33"/>
    </row>
    <row r="22" spans="1:14" x14ac:dyDescent="0.25">
      <c r="A22" s="118">
        <v>300</v>
      </c>
      <c r="B22" s="118">
        <v>193.17</v>
      </c>
      <c r="C22" s="118">
        <v>37.03</v>
      </c>
      <c r="D22" s="119" t="s">
        <v>71</v>
      </c>
      <c r="F22" s="106"/>
      <c r="G22" s="107"/>
      <c r="H22" s="107"/>
      <c r="I22" s="107"/>
      <c r="J22" s="108"/>
      <c r="K22" s="108"/>
      <c r="L22" s="108"/>
      <c r="M22" s="108"/>
      <c r="N22" s="109"/>
    </row>
    <row r="23" spans="1:14" ht="14.4" thickBot="1" x14ac:dyDescent="0.3">
      <c r="A23" s="120">
        <v>1200</v>
      </c>
      <c r="B23" s="120">
        <v>12362.81</v>
      </c>
      <c r="C23" s="120">
        <v>592.52</v>
      </c>
      <c r="D23" s="121" t="s">
        <v>72</v>
      </c>
      <c r="F23" s="110"/>
      <c r="G23" s="103"/>
      <c r="H23" s="103"/>
      <c r="I23" s="103"/>
      <c r="J23" s="104"/>
      <c r="K23" s="104"/>
      <c r="L23" s="104"/>
      <c r="M23" s="104"/>
      <c r="N23" s="111"/>
    </row>
    <row r="24" spans="1:14" x14ac:dyDescent="0.25">
      <c r="F24" s="112"/>
      <c r="G24" s="105"/>
      <c r="H24" s="104"/>
      <c r="I24" s="104"/>
      <c r="J24" s="104"/>
      <c r="K24" s="104"/>
      <c r="L24" s="104"/>
      <c r="M24" s="104"/>
      <c r="N24" s="111"/>
    </row>
    <row r="25" spans="1:14" x14ac:dyDescent="0.25">
      <c r="F25" s="112"/>
      <c r="G25" s="104"/>
      <c r="H25" s="104"/>
      <c r="I25" s="104"/>
      <c r="J25" s="104"/>
      <c r="K25" s="104"/>
      <c r="L25" s="104"/>
      <c r="M25" s="104"/>
      <c r="N25" s="111"/>
    </row>
    <row r="26" spans="1:14" x14ac:dyDescent="0.25">
      <c r="F26" s="112"/>
      <c r="G26" s="104"/>
      <c r="H26" s="104"/>
      <c r="I26" s="104"/>
      <c r="J26" s="104"/>
      <c r="K26" s="104"/>
      <c r="L26" s="104"/>
      <c r="M26" s="104"/>
      <c r="N26" s="111"/>
    </row>
    <row r="27" spans="1:14" ht="14.4" thickBot="1" x14ac:dyDescent="0.3">
      <c r="F27" s="113"/>
      <c r="G27" s="114"/>
      <c r="H27" s="114"/>
      <c r="I27" s="114"/>
      <c r="J27" s="114"/>
      <c r="K27" s="114"/>
      <c r="L27" s="114"/>
      <c r="M27" s="114"/>
      <c r="N27" s="115"/>
    </row>
  </sheetData>
  <mergeCells count="12">
    <mergeCell ref="K1:N1"/>
    <mergeCell ref="K2:M2"/>
    <mergeCell ref="K14:M14"/>
    <mergeCell ref="K17:M17"/>
    <mergeCell ref="A1:D1"/>
    <mergeCell ref="F2:H2"/>
    <mergeCell ref="A15:C15"/>
    <mergeCell ref="A12:C12"/>
    <mergeCell ref="A2:C2"/>
    <mergeCell ref="F1:I1"/>
    <mergeCell ref="F14:H14"/>
    <mergeCell ref="F17:H1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СборНагрузок</vt:lpstr>
      <vt:lpstr>РасчетБалок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RomodanEA</dc:creator>
  <cp:lastModifiedBy>RomodanEA</cp:lastModifiedBy>
  <dcterms:created xsi:type="dcterms:W3CDTF">2015-06-05T18:19:34Z</dcterms:created>
  <dcterms:modified xsi:type="dcterms:W3CDTF">2024-07-03T05:21:02Z</dcterms:modified>
</cp:coreProperties>
</file>